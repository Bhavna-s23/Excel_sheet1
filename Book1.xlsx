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9662eeac62ef68/Documents/"/>
    </mc:Choice>
  </mc:AlternateContent>
  <xr:revisionPtr revIDLastSave="151" documentId="8_{56F0CBBE-A29D-49A6-9541-EFC931E1AED3}" xr6:coauthVersionLast="47" xr6:coauthVersionMax="47" xr10:uidLastSave="{E8313952-F8EA-429F-BCFF-876C6E7A571F}"/>
  <bookViews>
    <workbookView xWindow="-108" yWindow="-108" windowWidth="23256" windowHeight="12456" activeTab="3" xr2:uid="{A5A0373F-7207-4F24-BF4F-2B9DED7DF7BF}"/>
  </bookViews>
  <sheets>
    <sheet name="Sheet1" sheetId="1" r:id="rId1"/>
    <sheet name="Sheet2" sheetId="2" r:id="rId2"/>
    <sheet name="Sheet3" sheetId="3" r:id="rId3"/>
    <sheet name="Sheet4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 a="1"/>
  <c r="C4" i="7" a="1"/>
  <c r="C5" i="7" a="1"/>
  <c r="C6" i="7" a="1"/>
  <c r="C7" i="7" a="1"/>
  <c r="C8" i="7" a="1"/>
  <c r="C9" i="7" a="1"/>
  <c r="C2" i="7" a="1"/>
  <c r="D3" i="3" a="1"/>
  <c r="D4" i="3" a="1"/>
  <c r="D5" i="3" a="1"/>
  <c r="D6" i="3" a="1"/>
  <c r="D7" i="3" a="1"/>
  <c r="D2" i="3" a="1"/>
  <c r="K11" i="1"/>
  <c r="K12" i="1"/>
  <c r="K13" i="1"/>
  <c r="K14" i="1"/>
  <c r="K10" i="1"/>
  <c r="I10" i="1"/>
  <c r="J10" i="1"/>
  <c r="J11" i="1"/>
  <c r="J12" i="1"/>
  <c r="J13" i="1"/>
  <c r="J14" i="1"/>
  <c r="I11" i="1"/>
  <c r="I12" i="1"/>
  <c r="I13" i="1"/>
  <c r="I14" i="1"/>
  <c r="H11" i="1"/>
  <c r="H12" i="1"/>
  <c r="H13" i="1"/>
  <c r="H14" i="1"/>
  <c r="H10" i="1"/>
  <c r="F3" i="2"/>
  <c r="F4" i="2"/>
  <c r="F5" i="2"/>
  <c r="F6" i="2"/>
  <c r="F2" i="2"/>
  <c r="E3" i="2"/>
  <c r="E4" i="2"/>
  <c r="E5" i="2"/>
  <c r="E6" i="2"/>
  <c r="E2" i="2"/>
  <c r="G10" i="1"/>
  <c r="F10" i="1"/>
  <c r="G11" i="1"/>
  <c r="G12" i="1"/>
  <c r="G13" i="1"/>
  <c r="G14" i="1"/>
  <c r="F11" i="1"/>
  <c r="F12" i="1"/>
  <c r="F13" i="1"/>
  <c r="F14" i="1"/>
  <c r="D7" i="1"/>
  <c r="C7" i="1"/>
  <c r="J3" i="1"/>
  <c r="K3" i="1" s="1"/>
  <c r="J4" i="1"/>
  <c r="K4" i="1" s="1"/>
  <c r="J5" i="1"/>
  <c r="K5" i="1" s="1"/>
  <c r="J6" i="1"/>
  <c r="K6" i="1" s="1"/>
  <c r="J2" i="1"/>
  <c r="K2" i="1" s="1"/>
  <c r="I3" i="1"/>
  <c r="I4" i="1"/>
  <c r="I5" i="1"/>
  <c r="I6" i="1"/>
  <c r="I2" i="1"/>
  <c r="H2" i="1"/>
  <c r="H3" i="1"/>
  <c r="H4" i="1"/>
  <c r="H5" i="1"/>
  <c r="H6" i="1"/>
  <c r="G3" i="1"/>
  <c r="G4" i="1"/>
  <c r="G5" i="1"/>
  <c r="G6" i="1"/>
  <c r="G2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<sst xmlns="http://schemas.openxmlformats.org/spreadsheetml/2006/main" count="60" uniqueCount="42">
  <si>
    <t>S No.</t>
  </si>
  <si>
    <t>Name of Student</t>
  </si>
  <si>
    <t>A</t>
  </si>
  <si>
    <t>B</t>
  </si>
  <si>
    <t>C</t>
  </si>
  <si>
    <t>D</t>
  </si>
  <si>
    <t>E</t>
  </si>
  <si>
    <t>Sub 1</t>
  </si>
  <si>
    <t>Sub 2</t>
  </si>
  <si>
    <t>Sub 3</t>
  </si>
  <si>
    <t>Total</t>
  </si>
  <si>
    <t>Max</t>
  </si>
  <si>
    <t>Min</t>
  </si>
  <si>
    <t>Average</t>
  </si>
  <si>
    <t>Percentage</t>
  </si>
  <si>
    <t>Result</t>
  </si>
  <si>
    <t>Result 2</t>
  </si>
  <si>
    <t>S no.</t>
  </si>
  <si>
    <t>Employee</t>
  </si>
  <si>
    <t>Date</t>
  </si>
  <si>
    <t>Performance</t>
  </si>
  <si>
    <t>Promotion(and)</t>
  </si>
  <si>
    <t>Promotion(or)</t>
  </si>
  <si>
    <t>%age</t>
  </si>
  <si>
    <t>Grade(based on %age only)</t>
  </si>
  <si>
    <t>Grade (nesting if)</t>
  </si>
  <si>
    <t>grade with ifs</t>
  </si>
  <si>
    <t>Customer</t>
  </si>
  <si>
    <t>Anil</t>
  </si>
  <si>
    <t>Vikas</t>
  </si>
  <si>
    <t>Sachin</t>
  </si>
  <si>
    <t>Vijay</t>
  </si>
  <si>
    <t>Virat</t>
  </si>
  <si>
    <t>Snehal</t>
  </si>
  <si>
    <t>S NO.</t>
  </si>
  <si>
    <t>Quantity Order</t>
  </si>
  <si>
    <t>Conditions</t>
  </si>
  <si>
    <t>Greater than equal to 10</t>
  </si>
  <si>
    <t>Greater than equal to 5</t>
  </si>
  <si>
    <t>Lessn than 5</t>
  </si>
  <si>
    <t>Discount %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</si>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</sst>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0" fillId="0" borderId="0" xfId="0" applyFont="1"/>
    <xf numFmtId="0" fontId="0" fillId="0" borderId="0" xfId="0"/>
    <xf numFmtId="0" fontId="0" fillId="0" borderId="0" xfId="0"/>
    <xf numFmtId="0" fontId="0" fillId="0" borderId="0" xfId="0"/>
    <xf numFmtId="9" fontId="0" fillId="0" borderId="0" xfId="0" applyNumberFormat="1"/>
    <xf numFmtId="9" fontId="0" fillId="0" borderId="0" xfId="1" applyFont="1"/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9AE0-9BA9-4613-B0B9-5216EF44EDFC}">
  <dimension ref="A1:K14"/>
  <sheetViews>
    <sheetView topLeftCell="D1" zoomScale="180" zoomScaleNormal="110" workbookViewId="0">
      <selection activeCell="K14" sqref="K14"/>
    </sheetView>
  </sheetViews>
  <sheetFormatPr defaultRowHeight="14.4" x14ac:dyDescent="0.3"/>
  <cols>
    <col min="1" max="1" width="5.21875" bestFit="1" customWidth="1"/>
    <col min="2" max="2" width="15.21875" bestFit="1" customWidth="1"/>
    <col min="3" max="5" width="5.44140625" bestFit="1" customWidth="1"/>
    <col min="6" max="6" width="6" bestFit="1" customWidth="1"/>
    <col min="9" max="9" width="23.33203125" bestFit="1" customWidth="1"/>
    <col min="10" max="10" width="14.77734375" bestFit="1" customWidth="1"/>
    <col min="11" max="11" width="11.5546875" bestFit="1" customWidth="1"/>
  </cols>
  <sheetData>
    <row r="1" spans="1:11" x14ac:dyDescent="0.3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>
        <v>1</v>
      </c>
      <c r="B2" t="s">
        <v>2</v>
      </c>
      <c r="C2">
        <v>29</v>
      </c>
      <c r="D2">
        <v>99</v>
      </c>
      <c r="E2">
        <v>22</v>
      </c>
      <c r="F2">
        <f>SUM(C2:E2)</f>
        <v>150</v>
      </c>
      <c r="G2">
        <f>MAX(C2:E2)</f>
        <v>99</v>
      </c>
      <c r="H2">
        <f>MIN(C2:E2)</f>
        <v>22</v>
      </c>
      <c r="I2">
        <f>AVERAGE(C2:E2)</f>
        <v>50</v>
      </c>
      <c r="J2">
        <f>SUM(C2:E2)/300*100</f>
        <v>50</v>
      </c>
      <c r="K2" t="str">
        <f>IF(J2&gt;=45,"pass","fail")</f>
        <v>pass</v>
      </c>
    </row>
    <row r="3" spans="1:11" x14ac:dyDescent="0.3">
      <c r="A3">
        <v>2</v>
      </c>
      <c r="B3" t="s">
        <v>3</v>
      </c>
      <c r="C3">
        <v>19</v>
      </c>
      <c r="D3">
        <v>30</v>
      </c>
      <c r="E3">
        <v>72</v>
      </c>
      <c r="F3">
        <f t="shared" ref="F3:F5" si="0">SUM(C3:E3)</f>
        <v>121</v>
      </c>
      <c r="G3">
        <f t="shared" ref="G3:G6" si="1">MAX(C3:E3)</f>
        <v>72</v>
      </c>
      <c r="H3">
        <f t="shared" ref="H3:H6" si="2">MIN(C3:E3)</f>
        <v>19</v>
      </c>
      <c r="I3" s="1">
        <f t="shared" ref="I3:I6" si="3">AVERAGE(C3:E3)</f>
        <v>40.333333333333336</v>
      </c>
      <c r="J3">
        <f t="shared" ref="J3:J6" si="4">SUM(C3:E3)/300*100</f>
        <v>40.333333333333329</v>
      </c>
      <c r="K3" t="str">
        <f t="shared" ref="K3:K6" si="5">IF(J3&gt;=45,"pass","fail")</f>
        <v>fail</v>
      </c>
    </row>
    <row r="4" spans="1:11" x14ac:dyDescent="0.3">
      <c r="A4">
        <v>3</v>
      </c>
      <c r="B4" t="s">
        <v>4</v>
      </c>
      <c r="C4">
        <v>32</v>
      </c>
      <c r="D4">
        <v>74</v>
      </c>
      <c r="E4">
        <v>74</v>
      </c>
      <c r="F4">
        <f t="shared" si="0"/>
        <v>180</v>
      </c>
      <c r="G4">
        <f t="shared" si="1"/>
        <v>74</v>
      </c>
      <c r="H4">
        <f t="shared" si="2"/>
        <v>32</v>
      </c>
      <c r="I4">
        <f t="shared" si="3"/>
        <v>60</v>
      </c>
      <c r="J4">
        <f t="shared" si="4"/>
        <v>60</v>
      </c>
      <c r="K4" t="str">
        <f t="shared" si="5"/>
        <v>pass</v>
      </c>
    </row>
    <row r="5" spans="1:11" x14ac:dyDescent="0.3">
      <c r="A5">
        <v>4</v>
      </c>
      <c r="B5" t="s">
        <v>5</v>
      </c>
      <c r="C5">
        <v>89</v>
      </c>
      <c r="D5">
        <v>21</v>
      </c>
      <c r="E5">
        <v>12</v>
      </c>
      <c r="F5">
        <f t="shared" si="0"/>
        <v>122</v>
      </c>
      <c r="G5">
        <f t="shared" si="1"/>
        <v>89</v>
      </c>
      <c r="H5">
        <f t="shared" si="2"/>
        <v>12</v>
      </c>
      <c r="I5" s="1">
        <f t="shared" si="3"/>
        <v>40.666666666666664</v>
      </c>
      <c r="J5">
        <f t="shared" si="4"/>
        <v>40.666666666666664</v>
      </c>
      <c r="K5" t="str">
        <f t="shared" si="5"/>
        <v>fail</v>
      </c>
    </row>
    <row r="6" spans="1:11" x14ac:dyDescent="0.3">
      <c r="A6">
        <v>5</v>
      </c>
      <c r="B6" t="s">
        <v>6</v>
      </c>
      <c r="C6">
        <v>73</v>
      </c>
      <c r="D6">
        <v>60</v>
      </c>
      <c r="E6">
        <v>90</v>
      </c>
      <c r="F6">
        <f>SUM(C6:E6)</f>
        <v>223</v>
      </c>
      <c r="G6">
        <f t="shared" si="1"/>
        <v>90</v>
      </c>
      <c r="H6">
        <f t="shared" si="2"/>
        <v>60</v>
      </c>
      <c r="I6" s="1">
        <f t="shared" si="3"/>
        <v>74.333333333333329</v>
      </c>
      <c r="J6">
        <f t="shared" si="4"/>
        <v>74.333333333333329</v>
      </c>
      <c r="K6" t="str">
        <f t="shared" si="5"/>
        <v>pass</v>
      </c>
    </row>
    <row r="7" spans="1:11" x14ac:dyDescent="0.3">
      <c r="C7">
        <f>COUNT(C2:C6)</f>
        <v>5</v>
      </c>
      <c r="D7">
        <f>COUNT(D2:D6)</f>
        <v>5</v>
      </c>
    </row>
    <row r="9" spans="1:11" x14ac:dyDescent="0.3">
      <c r="A9" t="s">
        <v>0</v>
      </c>
      <c r="B9" t="s">
        <v>1</v>
      </c>
      <c r="C9" t="s">
        <v>7</v>
      </c>
      <c r="D9" t="s">
        <v>8</v>
      </c>
      <c r="E9" t="s">
        <v>9</v>
      </c>
      <c r="F9" t="s">
        <v>15</v>
      </c>
      <c r="G9" t="s">
        <v>16</v>
      </c>
      <c r="H9" t="s">
        <v>23</v>
      </c>
      <c r="I9" t="s">
        <v>24</v>
      </c>
      <c r="J9" t="s">
        <v>25</v>
      </c>
      <c r="K9" t="s">
        <v>26</v>
      </c>
    </row>
    <row r="10" spans="1:11" x14ac:dyDescent="0.3">
      <c r="A10">
        <v>1</v>
      </c>
      <c r="B10" t="s">
        <v>2</v>
      </c>
      <c r="C10">
        <v>29</v>
      </c>
      <c r="D10">
        <v>99</v>
      </c>
      <c r="E10">
        <v>22</v>
      </c>
      <c r="F10" t="str">
        <f>IF(AND(C10&gt;22,D10&gt;22,E10&gt;22),"pass","fail")</f>
        <v>fail</v>
      </c>
      <c r="G10" t="str">
        <f>IF(OR(C10&lt;22,D10&lt;22,E10&lt;22),"fail","pass")</f>
        <v>pass</v>
      </c>
      <c r="H10" s="1">
        <f>SUM(C10:E10)/300*100</f>
        <v>50</v>
      </c>
      <c r="I10" t="str">
        <f>IF(H10&gt;=70,"A",IF(H10&gt;=60,"B",IF(H10&gt;=50,"C","D")))</f>
        <v>C</v>
      </c>
      <c r="J10" t="str">
        <f>IF(G10="fail","fail",I10)</f>
        <v>C</v>
      </c>
      <c r="K10" t="str">
        <f>IF(G10="fail","fail",IF(H10&gt;=70,"A",IF(H10&gt;=60,"B",IF(H10&gt;=50,"C","D"))))</f>
        <v>C</v>
      </c>
    </row>
    <row r="11" spans="1:11" x14ac:dyDescent="0.3">
      <c r="A11">
        <v>2</v>
      </c>
      <c r="B11" t="s">
        <v>3</v>
      </c>
      <c r="C11">
        <v>19</v>
      </c>
      <c r="D11">
        <v>30</v>
      </c>
      <c r="E11">
        <v>72</v>
      </c>
      <c r="F11" t="str">
        <f t="shared" ref="F11:F14" si="6">IF(AND(C11&gt;=22,D11&gt;=22,E11&gt;=22),"pass","fail")</f>
        <v>fail</v>
      </c>
      <c r="G11" t="str">
        <f t="shared" ref="G11:G14" si="7">IF(OR(C11&lt;22,D11&lt;22,E11&lt;22),"fail","pass")</f>
        <v>fail</v>
      </c>
      <c r="H11" s="1">
        <f t="shared" ref="H11:H14" si="8">SUM(C11:E11)/300*100</f>
        <v>40.333333333333329</v>
      </c>
      <c r="I11" t="str">
        <f t="shared" ref="I11:I14" si="9">IF(H11&gt;=70,"A",IF(H11&gt;=60,"B",IF(H11&gt;=50,"C","D")))</f>
        <v>D</v>
      </c>
      <c r="J11" t="str">
        <f t="shared" ref="J11:J14" si="10">IF(G11="fail","fail",I11)</f>
        <v>fail</v>
      </c>
      <c r="K11" t="str">
        <f t="shared" ref="K11:K14" si="11">IF(G11="fail","fail",IF(H11&gt;=70,"A",IF(H11&gt;=60,"B",IF(H11&gt;=50,"C","D"))))</f>
        <v>fail</v>
      </c>
    </row>
    <row r="12" spans="1:11" x14ac:dyDescent="0.3">
      <c r="A12">
        <v>3</v>
      </c>
      <c r="B12" t="s">
        <v>4</v>
      </c>
      <c r="C12">
        <v>32</v>
      </c>
      <c r="D12">
        <v>74</v>
      </c>
      <c r="E12">
        <v>74</v>
      </c>
      <c r="F12" t="str">
        <f t="shared" si="6"/>
        <v>pass</v>
      </c>
      <c r="G12" t="str">
        <f t="shared" si="7"/>
        <v>pass</v>
      </c>
      <c r="H12" s="1">
        <f t="shared" si="8"/>
        <v>60</v>
      </c>
      <c r="I12" t="str">
        <f t="shared" si="9"/>
        <v>B</v>
      </c>
      <c r="J12" t="str">
        <f t="shared" si="10"/>
        <v>B</v>
      </c>
      <c r="K12" t="str">
        <f t="shared" si="11"/>
        <v>B</v>
      </c>
    </row>
    <row r="13" spans="1:11" x14ac:dyDescent="0.3">
      <c r="A13">
        <v>4</v>
      </c>
      <c r="B13" t="s">
        <v>5</v>
      </c>
      <c r="C13">
        <v>89</v>
      </c>
      <c r="D13">
        <v>21</v>
      </c>
      <c r="E13">
        <v>12</v>
      </c>
      <c r="F13" t="str">
        <f t="shared" si="6"/>
        <v>fail</v>
      </c>
      <c r="G13" t="str">
        <f t="shared" si="7"/>
        <v>fail</v>
      </c>
      <c r="H13" s="1">
        <f t="shared" si="8"/>
        <v>40.666666666666664</v>
      </c>
      <c r="I13" t="str">
        <f t="shared" si="9"/>
        <v>D</v>
      </c>
      <c r="J13" t="str">
        <f t="shared" si="10"/>
        <v>fail</v>
      </c>
      <c r="K13" t="str">
        <f t="shared" si="11"/>
        <v>fail</v>
      </c>
    </row>
    <row r="14" spans="1:11" x14ac:dyDescent="0.3">
      <c r="A14">
        <v>5</v>
      </c>
      <c r="B14" t="s">
        <v>6</v>
      </c>
      <c r="C14">
        <v>73</v>
      </c>
      <c r="D14">
        <v>60</v>
      </c>
      <c r="E14">
        <v>90</v>
      </c>
      <c r="F14" t="str">
        <f t="shared" si="6"/>
        <v>pass</v>
      </c>
      <c r="G14" t="str">
        <f t="shared" si="7"/>
        <v>pass</v>
      </c>
      <c r="H14" s="1">
        <f t="shared" si="8"/>
        <v>74.333333333333329</v>
      </c>
      <c r="I14" t="str">
        <f t="shared" si="9"/>
        <v>A</v>
      </c>
      <c r="J14" t="str">
        <f t="shared" si="10"/>
        <v>A</v>
      </c>
      <c r="K14" t="str">
        <f t="shared" si="11"/>
        <v>A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A989-7FB0-4A4E-9ED9-C9375C9C9F44}">
  <dimension ref="A1:G6"/>
  <sheetViews>
    <sheetView workbookViewId="0">
      <selection activeCell="G2" sqref="G2"/>
    </sheetView>
  </sheetViews>
  <sheetFormatPr defaultRowHeight="14.4" x14ac:dyDescent="0.3"/>
  <cols>
    <col min="2" max="2" width="10.33203125" customWidth="1"/>
    <col min="4" max="4" width="11.5546875" bestFit="1" customWidth="1"/>
    <col min="5" max="5" width="13.5546875" bestFit="1" customWidth="1"/>
    <col min="6" max="6" width="12.109375" bestFit="1" customWidth="1"/>
  </cols>
  <sheetData>
    <row r="1" spans="1:7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>
        <v>1</v>
      </c>
      <c r="B2" t="s">
        <v>2</v>
      </c>
      <c r="C2">
        <v>122</v>
      </c>
      <c r="D2">
        <v>9</v>
      </c>
      <c r="E2" t="str">
        <f>IF(AND(C2&gt;=145,D2&gt;=8),"yes","no")</f>
        <v>no</v>
      </c>
      <c r="F2" t="str">
        <f>IF(OR(C2&gt;=145,D2&gt;=8),"yes","no")</f>
        <v>yes</v>
      </c>
    </row>
    <row r="3" spans="1:7" x14ac:dyDescent="0.3">
      <c r="A3">
        <v>2</v>
      </c>
      <c r="B3" t="s">
        <v>3</v>
      </c>
      <c r="C3">
        <v>145</v>
      </c>
      <c r="D3">
        <v>8</v>
      </c>
      <c r="E3" t="str">
        <f t="shared" ref="E3:E6" si="0">IF(AND(C3&gt;=145,D3&gt;=8),"yes","no")</f>
        <v>yes</v>
      </c>
      <c r="F3" t="str">
        <f t="shared" ref="F3:F6" si="1">IF(OR(C3&gt;=145,D3&gt;=8),"yes","no")</f>
        <v>yes</v>
      </c>
    </row>
    <row r="4" spans="1:7" x14ac:dyDescent="0.3">
      <c r="A4">
        <v>3</v>
      </c>
      <c r="B4" t="s">
        <v>4</v>
      </c>
      <c r="C4">
        <v>164</v>
      </c>
      <c r="D4">
        <v>7</v>
      </c>
      <c r="E4" t="str">
        <f t="shared" si="0"/>
        <v>no</v>
      </c>
      <c r="F4" t="str">
        <f t="shared" si="1"/>
        <v>yes</v>
      </c>
    </row>
    <row r="5" spans="1:7" x14ac:dyDescent="0.3">
      <c r="A5">
        <v>4</v>
      </c>
      <c r="B5" t="s">
        <v>5</v>
      </c>
      <c r="C5">
        <v>179</v>
      </c>
      <c r="D5">
        <v>9</v>
      </c>
      <c r="E5" t="str">
        <f t="shared" si="0"/>
        <v>yes</v>
      </c>
      <c r="F5" t="str">
        <f t="shared" si="1"/>
        <v>yes</v>
      </c>
    </row>
    <row r="6" spans="1:7" x14ac:dyDescent="0.3">
      <c r="A6">
        <v>5</v>
      </c>
      <c r="B6" t="s">
        <v>6</v>
      </c>
      <c r="C6">
        <v>111</v>
      </c>
      <c r="D6">
        <v>7</v>
      </c>
      <c r="E6" t="str">
        <f t="shared" si="0"/>
        <v>no</v>
      </c>
      <c r="F6" t="str">
        <f t="shared" si="1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ABF4-2228-43FF-8FC6-9A31B4E116F6}">
  <dimension ref="A1:H7"/>
  <sheetViews>
    <sheetView workbookViewId="0">
      <selection activeCell="J11" sqref="J11"/>
    </sheetView>
  </sheetViews>
  <sheetFormatPr defaultRowHeight="14.4" x14ac:dyDescent="0.3"/>
  <cols>
    <col min="3" max="3" width="12.6640625" bestFit="1" customWidth="1"/>
    <col min="4" max="4" width="10" bestFit="1" customWidth="1"/>
    <col min="7" max="7" width="20.33203125" bestFit="1" customWidth="1"/>
  </cols>
  <sheetData>
    <row r="1" spans="1:8" x14ac:dyDescent="0.3">
      <c r="A1" t="s">
        <v>34</v>
      </c>
      <c r="B1" s="3" t="s">
        <v>27</v>
      </c>
      <c r="C1" s="4" t="s">
        <v>35</v>
      </c>
      <c r="D1" t="s">
        <v>40</v>
      </c>
    </row>
    <row r="2" spans="1:8" x14ac:dyDescent="0.3">
      <c r="A2">
        <v>1</v>
      </c>
      <c r="B2" s="3" t="s">
        <v>28</v>
      </c>
      <c r="C2" s="4">
        <v>18</v>
      </c>
      <c r="D2" s="7" cm="1">
        <f t="array" ref="D2">_xlfn.IFS(C2&gt;=10,20%,C2&gt;=5,10%,C2&gt;=0,0)</f>
        <v>0.2</v>
      </c>
    </row>
    <row r="3" spans="1:8" x14ac:dyDescent="0.3">
      <c r="A3" s="3">
        <v>2</v>
      </c>
      <c r="B3" s="3" t="s">
        <v>29</v>
      </c>
      <c r="C3" s="4">
        <v>3</v>
      </c>
      <c r="D3" s="7" cm="1">
        <f t="array" ref="D3">_xlfn.IFS(C3&gt;=10,20%,C3&gt;=5,10%,C3&gt;=0,0)</f>
        <v>0</v>
      </c>
      <c r="G3" s="5" t="s">
        <v>36</v>
      </c>
      <c r="H3" s="5"/>
    </row>
    <row r="4" spans="1:8" x14ac:dyDescent="0.3">
      <c r="A4" s="3">
        <v>3</v>
      </c>
      <c r="B4" s="3" t="s">
        <v>30</v>
      </c>
      <c r="C4" s="4">
        <v>11</v>
      </c>
      <c r="D4" s="7" cm="1">
        <f t="array" ref="D4">_xlfn.IFS(C4&gt;=10,20%,C4&gt;=5,10%,C4&gt;=0,0)</f>
        <v>0.2</v>
      </c>
      <c r="G4" s="5" t="s">
        <v>37</v>
      </c>
      <c r="H4" s="6">
        <v>0.2</v>
      </c>
    </row>
    <row r="5" spans="1:8" x14ac:dyDescent="0.3">
      <c r="A5" s="3">
        <v>4</v>
      </c>
      <c r="B5" s="3" t="s">
        <v>31</v>
      </c>
      <c r="C5" s="4">
        <v>6</v>
      </c>
      <c r="D5" s="7" cm="1">
        <f t="array" ref="D5">_xlfn.IFS(C5&gt;=10,20%,C5&gt;=5,10%,C5&gt;=0,0)</f>
        <v>0.1</v>
      </c>
      <c r="G5" s="5" t="s">
        <v>38</v>
      </c>
      <c r="H5" s="6">
        <v>0.1</v>
      </c>
    </row>
    <row r="6" spans="1:8" x14ac:dyDescent="0.3">
      <c r="A6" s="3">
        <v>5</v>
      </c>
      <c r="B6" s="3" t="s">
        <v>32</v>
      </c>
      <c r="C6" s="4">
        <v>7</v>
      </c>
      <c r="D6" s="7" cm="1">
        <f t="array" ref="D6">_xlfn.IFS(C6&gt;=10,20%,C6&gt;=5,10%,C6&gt;=0,0)</f>
        <v>0.1</v>
      </c>
      <c r="G6" s="5" t="s">
        <v>39</v>
      </c>
      <c r="H6" s="6">
        <v>0</v>
      </c>
    </row>
    <row r="7" spans="1:8" x14ac:dyDescent="0.3">
      <c r="A7" s="3">
        <v>6</v>
      </c>
      <c r="B7" s="3" t="s">
        <v>33</v>
      </c>
      <c r="C7" s="4">
        <v>4</v>
      </c>
      <c r="D7" s="7" cm="1">
        <f t="array" ref="D7">_xlfn.IFS(C7&gt;=10,20%,C7&gt;=5,10%,C7&gt;=0,0)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B0D4-B4AE-487D-96EA-45ED992392B4}">
  <dimension ref="B1:C9"/>
  <sheetViews>
    <sheetView tabSelected="1" workbookViewId="0">
      <selection activeCell="C2" sqref="C2:C9"/>
    </sheetView>
  </sheetViews>
  <sheetFormatPr defaultRowHeight="14.4" x14ac:dyDescent="0.3"/>
  <sheetData>
    <row r="1" spans="2:3" x14ac:dyDescent="0.3">
      <c r="B1" s="8" t="s">
        <v>41</v>
      </c>
      <c r="C1" s="2" t="s">
        <v>23</v>
      </c>
    </row>
    <row r="2" spans="2:3" x14ac:dyDescent="0.3">
      <c r="B2" s="8">
        <v>5</v>
      </c>
      <c r="C2" t="str" cm="1">
        <f t="array" ref="C2">_xlfn.IFS(B2&gt;=5,"v ery good",B2&gt;=4,"good",B2&gt;=2,"average",B2&gt;=0,"not good")</f>
        <v>v ery good</v>
      </c>
    </row>
    <row r="3" spans="2:3" x14ac:dyDescent="0.3">
      <c r="B3" s="8">
        <v>2</v>
      </c>
      <c r="C3" s="8" t="str" cm="1">
        <f t="array" ref="C3">_xlfn.IFS(B3&gt;=5,"v ery good",B3&gt;=4,"good",B3&gt;=2,"average",B3&gt;=0,"not good")</f>
        <v>average</v>
      </c>
    </row>
    <row r="4" spans="2:3" x14ac:dyDescent="0.3">
      <c r="B4" s="8">
        <v>3</v>
      </c>
      <c r="C4" s="8" t="str" cm="1">
        <f t="array" ref="C4">_xlfn.IFS(B4&gt;=5,"v ery good",B4&gt;=4,"good",B4&gt;=2,"average",B4&gt;=0,"not good")</f>
        <v>average</v>
      </c>
    </row>
    <row r="5" spans="2:3" x14ac:dyDescent="0.3">
      <c r="B5" s="8">
        <v>4</v>
      </c>
      <c r="C5" s="8" t="str" cm="1">
        <f t="array" ref="C5">_xlfn.IFS(B5&gt;=5,"v ery good",B5&gt;=4,"good",B5&gt;=2,"average",B5&gt;=0,"not good")</f>
        <v>good</v>
      </c>
    </row>
    <row r="6" spans="2:3" x14ac:dyDescent="0.3">
      <c r="B6" s="8">
        <v>5</v>
      </c>
      <c r="C6" s="8" t="str" cm="1">
        <f t="array" ref="C6">_xlfn.IFS(B6&gt;=5,"v ery good",B6&gt;=4,"good",B6&gt;=2,"average",B6&gt;=0,"not good")</f>
        <v>v ery good</v>
      </c>
    </row>
    <row r="7" spans="2:3" x14ac:dyDescent="0.3">
      <c r="B7" s="8">
        <v>1</v>
      </c>
      <c r="C7" s="8" t="str" cm="1">
        <f t="array" ref="C7">_xlfn.IFS(B7&gt;=5,"v ery good",B7&gt;=4,"good",B7&gt;=2,"average",B7&gt;=0,"not good")</f>
        <v>not good</v>
      </c>
    </row>
    <row r="8" spans="2:3" x14ac:dyDescent="0.3">
      <c r="B8" s="8">
        <v>2</v>
      </c>
      <c r="C8" s="8" t="str" cm="1">
        <f t="array" ref="C8">_xlfn.IFS(B8&gt;=5,"v ery good",B8&gt;=4,"good",B8&gt;=2,"average",B8&gt;=0,"not good")</f>
        <v>average</v>
      </c>
    </row>
    <row r="9" spans="2:3" x14ac:dyDescent="0.3">
      <c r="B9" s="8">
        <v>1</v>
      </c>
      <c r="C9" s="8" t="str" cm="1">
        <f t="array" ref="C9">_xlfn.IFS(B9&gt;=5,"v ery good",B9&gt;=4,"good",B9&gt;=2,"average",B9&gt;=0,"not good")</f>
        <v>not good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Sharma</dc:creator>
  <cp:lastModifiedBy>Bhavna Sharma</cp:lastModifiedBy>
  <cp:lastPrinted>2026-09-07T18:57:51Z</cp:lastPrinted>
  <dcterms:created xsi:type="dcterms:W3CDTF">2026-09-03T19:11:47Z</dcterms:created>
  <dcterms:modified xsi:type="dcterms:W3CDTF">2026-09-09T18:51:03Z</dcterms:modified>
</cp:coreProperties>
</file>